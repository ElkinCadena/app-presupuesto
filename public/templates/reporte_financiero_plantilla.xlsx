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kinc@bextsa.com\Downloads\"/>
    </mc:Choice>
  </mc:AlternateContent>
  <xr:revisionPtr revIDLastSave="0" documentId="13_ncr:1_{E266060A-BC2E-4311-9F5D-393781092AA6}" xr6:coauthVersionLast="47" xr6:coauthVersionMax="47" xr10:uidLastSave="{00000000-0000-0000-0000-000000000000}"/>
  <bookViews>
    <workbookView xWindow="-20610" yWindow="-120" windowWidth="20730" windowHeight="11040" tabRatio="500" firstSheet="3" activeTab="3" xr2:uid="{00000000-000D-0000-FFFF-FFFF00000000}"/>
  </bookViews>
  <sheets>
    <sheet name="📊 Resumen" sheetId="1" r:id="rId1"/>
    <sheet name="Transacciones" sheetId="2" r:id="rId2"/>
    <sheet name="Presupuesto" sheetId="3" r:id="rId3"/>
    <sheet name="📈 Análisis" sheetId="4" r:id="rId4"/>
    <sheet name="ℹ️ Instruccion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4" l="1"/>
  <c r="B11" i="4"/>
  <c r="B10" i="4"/>
  <c r="B9" i="4"/>
  <c r="B8" i="4"/>
  <c r="B7" i="4"/>
  <c r="B6" i="4"/>
  <c r="B5" i="4"/>
  <c r="B11" i="3"/>
  <c r="E10" i="3"/>
  <c r="D10" i="3"/>
  <c r="C10" i="3"/>
  <c r="C9" i="3"/>
  <c r="C8" i="3"/>
  <c r="E7" i="3"/>
  <c r="C7" i="3"/>
  <c r="D7" i="3" s="1"/>
  <c r="C6" i="3"/>
  <c r="C5" i="3"/>
  <c r="E4" i="3"/>
  <c r="C4" i="3"/>
  <c r="D4" i="3" s="1"/>
  <c r="C3" i="3"/>
  <c r="C3" i="2"/>
  <c r="C2" i="2"/>
  <c r="C17" i="1"/>
  <c r="E17" i="1" s="1"/>
  <c r="F17" i="1" s="1"/>
  <c r="C16" i="1"/>
  <c r="E16" i="1" s="1"/>
  <c r="F16" i="1" s="1"/>
  <c r="C15" i="1"/>
  <c r="E15" i="1" s="1"/>
  <c r="F15" i="1" s="1"/>
  <c r="C14" i="1"/>
  <c r="E14" i="1" s="1"/>
  <c r="F14" i="1" s="1"/>
  <c r="C13" i="1"/>
  <c r="E13" i="1" s="1"/>
  <c r="F13" i="1" s="1"/>
  <c r="C12" i="1"/>
  <c r="E12" i="1" s="1"/>
  <c r="F12" i="1" s="1"/>
  <c r="C11" i="1"/>
  <c r="E11" i="1" s="1"/>
  <c r="F11" i="1" s="1"/>
  <c r="C10" i="1"/>
  <c r="E9" i="3" l="1"/>
  <c r="D9" i="3"/>
  <c r="E8" i="3"/>
  <c r="D8" i="3"/>
  <c r="E6" i="3"/>
  <c r="D6" i="3"/>
  <c r="E5" i="3"/>
  <c r="D5" i="3"/>
  <c r="C11" i="3"/>
  <c r="E11" i="3" s="1"/>
  <c r="E3" i="3"/>
  <c r="D3" i="3"/>
  <c r="D11" i="3" s="1"/>
  <c r="B19" i="4"/>
  <c r="D17" i="1"/>
  <c r="D14" i="1"/>
  <c r="D16" i="1"/>
  <c r="D15" i="1"/>
  <c r="D13" i="1"/>
  <c r="D12" i="1"/>
  <c r="D10" i="1"/>
  <c r="D11" i="1"/>
  <c r="D6" i="1"/>
  <c r="B6" i="1"/>
  <c r="B18" i="4"/>
  <c r="C4" i="2"/>
  <c r="E10" i="1"/>
  <c r="F10" i="1" s="1"/>
  <c r="C18" i="1"/>
  <c r="B20" i="4" l="1"/>
  <c r="F6" i="1"/>
  <c r="D18" i="1"/>
</calcChain>
</file>

<file path=xl/sharedStrings.xml><?xml version="1.0" encoding="utf-8"?>
<sst xmlns="http://schemas.openxmlformats.org/spreadsheetml/2006/main" count="143" uniqueCount="97">
  <si>
    <t>💰  REPORTE MENSUAL DE FINANZAS PERSONALES</t>
  </si>
  <si>
    <t>INGRESOS</t>
  </si>
  <si>
    <t>EGRESOS</t>
  </si>
  <si>
    <t>BALANCE</t>
  </si>
  <si>
    <t>GASTOS POR CATEGORÍA</t>
  </si>
  <si>
    <t>Categoría</t>
  </si>
  <si>
    <t>Total Gastado</t>
  </si>
  <si>
    <t>% del Total</t>
  </si>
  <si>
    <t>vs. Presupuesto</t>
  </si>
  <si>
    <t>Estado</t>
  </si>
  <si>
    <t>● Vivienda</t>
  </si>
  <si>
    <t>● Deudas</t>
  </si>
  <si>
    <t>● Entretenimiento</t>
  </si>
  <si>
    <t>● Salud</t>
  </si>
  <si>
    <t>● Salidas</t>
  </si>
  <si>
    <t>● Educación</t>
  </si>
  <si>
    <t>● Otros</t>
  </si>
  <si>
    <t>● Ahorro</t>
  </si>
  <si>
    <t>TOTAL</t>
  </si>
  <si>
    <t>ℹ️  Todos los valores se actualizan automáticamente al agregar transacciones en la hoja 'Transacciones'</t>
  </si>
  <si>
    <t>Ingresos</t>
  </si>
  <si>
    <t>Total</t>
  </si>
  <si>
    <t>Egresos</t>
  </si>
  <si>
    <t>Balance</t>
  </si>
  <si>
    <t>📋  REGISTRO DE TRANSACCIONES</t>
  </si>
  <si>
    <t>Fecha</t>
  </si>
  <si>
    <t>Tipo</t>
  </si>
  <si>
    <t>Descripción</t>
  </si>
  <si>
    <t>Monto</t>
  </si>
  <si>
    <t>Método Pago</t>
  </si>
  <si>
    <t>Notas</t>
  </si>
  <si>
    <t>30/04/2025</t>
  </si>
  <si>
    <t>Gasto</t>
  </si>
  <si>
    <t>Ahorro</t>
  </si>
  <si>
    <t>Transferencia</t>
  </si>
  <si>
    <t>DeudaPapa</t>
  </si>
  <si>
    <t>Deudas</t>
  </si>
  <si>
    <t>Efectivo</t>
  </si>
  <si>
    <t>RegaloTia</t>
  </si>
  <si>
    <t>Entretenimiento</t>
  </si>
  <si>
    <t>Tarjeta</t>
  </si>
  <si>
    <t>Cumpleaños</t>
  </si>
  <si>
    <t>PagoInternet</t>
  </si>
  <si>
    <t>Vivienda</t>
  </si>
  <si>
    <t>Claro Hogar</t>
  </si>
  <si>
    <t>20/04/2025</t>
  </si>
  <si>
    <t>Mercado de la casa</t>
  </si>
  <si>
    <t>AlmuerzFamiliar</t>
  </si>
  <si>
    <t>Salidas</t>
  </si>
  <si>
    <t>18/04/2025</t>
  </si>
  <si>
    <t>Maiz y gastos casa</t>
  </si>
  <si>
    <t>14/04/2025</t>
  </si>
  <si>
    <t>Icetex</t>
  </si>
  <si>
    <t>Educación</t>
  </si>
  <si>
    <t>Cuota abril</t>
  </si>
  <si>
    <t>01/04/2025</t>
  </si>
  <si>
    <t>Ingreso</t>
  </si>
  <si>
    <t>Salario</t>
  </si>
  <si>
    <t>Quincena</t>
  </si>
  <si>
    <t>💡  Agrega nuevas filas copiando el formato de las anteriores. Los valores se actualizarán automáticamente en el Resumen.</t>
  </si>
  <si>
    <t>🎯  PRESUPUESTO MENSUAL</t>
  </si>
  <si>
    <t>Presupuesto</t>
  </si>
  <si>
    <t>Gastado</t>
  </si>
  <si>
    <t>Diferencia</t>
  </si>
  <si>
    <t>% Usado</t>
  </si>
  <si>
    <t>Salud</t>
  </si>
  <si>
    <t>Otros</t>
  </si>
  <si>
    <t>ℹ️  Los valores en amarillo son editables. Los demás se calculan automáticamente.</t>
  </si>
  <si>
    <t>📈  ANÁLISIS MENSUAL — DATOS PARA GRÁFICOS</t>
  </si>
  <si>
    <t>INGRESOS VS EGRESOS</t>
  </si>
  <si>
    <t>Concepto</t>
  </si>
  <si>
    <t>📖  GUÍA DE USO — REPORTE FINANCIERO MENSUAL</t>
  </si>
  <si>
    <t>🗂️  ESTRUCTURA DEL ARCHIVO</t>
  </si>
  <si>
    <t>📊 Resumen</t>
  </si>
  <si>
    <t>Vista general con KPIs, tabla de categorías y estado vs presupuesto.</t>
  </si>
  <si>
    <t>📋 Transacciones</t>
  </si>
  <si>
    <t>Aquí se registran todos los movimientos. Agrega filas con Fecha, Tipo, Monto, Categoría, etc.</t>
  </si>
  <si>
    <t>🎯 Presupuesto</t>
  </si>
  <si>
    <t>Define cuánto quieres gastar por categoría. Celdas en amarillo son editables.</t>
  </si>
  <si>
    <t>📈 Análisis</t>
  </si>
  <si>
    <t>Gráficos de torta e histograma generados automáticamente con tus datos.</t>
  </si>
  <si>
    <t>ℹ️  Instrucciones</t>
  </si>
  <si>
    <t>Esta hoja :)</t>
  </si>
  <si>
    <t>🚀  CÓMO USAR</t>
  </si>
  <si>
    <t>Paso 1</t>
  </si>
  <si>
    <t>En la hoja 'Transacciones', agrega cada gasto o ingreso en una nueva fila.</t>
  </si>
  <si>
    <t>Paso 2</t>
  </si>
  <si>
    <t>Asegúrate de usar exactamente los mismos nombres de categoría (Vivienda, Deudas, Salidas, etc.).</t>
  </si>
  <si>
    <t>Paso 3</t>
  </si>
  <si>
    <t>En 'Presupuesto', actualiza los valores en amarillo con tu presupuesto real.</t>
  </si>
  <si>
    <t>Paso 4</t>
  </si>
  <si>
    <t>El 'Resumen' y 'Análisis' se actualizan automáticamente.</t>
  </si>
  <si>
    <t>📌  CATEGORÍAS DISPONIBLES</t>
  </si>
  <si>
    <t>Vivienda | Deudas | Entretenimiento | Salud | Salidas | Educación | Otros | Ahorro</t>
  </si>
  <si>
    <t>💡  CONSEJO</t>
  </si>
  <si>
    <t>Puedes agregar nuevas categorías duplicando una fila en Transacciones y usando un nombre nuevo.</t>
  </si>
  <si>
    <t>Luego agrega ese nombre en la hoja Presupuesto y actualiza las fórmulas del Resumen.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</si>
</sst>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 &quot;#,##0"/>
    <numFmt numFmtId="165" formatCode="0.0%"/>
    <numFmt numFmtId="166" formatCode="&quot;$ &quot;#,##0;&quot;($ &quot;#,##0\);\-"/>
  </numFmts>
  <fonts count="24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9"/>
      <color rgb="FFCCDDEE"/>
      <name val="Arial"/>
      <charset val="1"/>
    </font>
    <font>
      <b/>
      <sz val="22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8E44AD"/>
      <name val="Arial"/>
      <charset val="1"/>
    </font>
    <font>
      <sz val="10"/>
      <color rgb="FF1A1A2E"/>
      <name val="Arial"/>
      <charset val="1"/>
    </font>
    <font>
      <sz val="10"/>
      <color rgb="FF922B21"/>
      <name val="Arial"/>
      <charset val="1"/>
    </font>
    <font>
      <sz val="10"/>
      <color rgb="FFE67E22"/>
      <name val="Arial"/>
      <charset val="1"/>
    </font>
    <font>
      <sz val="10"/>
      <color rgb="FFC0392B"/>
      <name val="Arial"/>
      <charset val="1"/>
    </font>
    <font>
      <sz val="10"/>
      <color rgb="FF1F6B42"/>
      <name val="Arial"/>
      <charset val="1"/>
    </font>
    <font>
      <sz val="10"/>
      <color rgb="FF1A7FBB"/>
      <name val="Arial"/>
      <charset val="1"/>
    </font>
    <font>
      <sz val="10"/>
      <color rgb="FF7F8C8D"/>
      <name val="Arial"/>
      <charset val="1"/>
    </font>
    <font>
      <sz val="10"/>
      <color rgb="FF2ECC71"/>
      <name val="Arial"/>
      <charset val="1"/>
    </font>
    <font>
      <i/>
      <sz val="9"/>
      <color rgb="FF6C757D"/>
      <name val="Arial"/>
      <charset val="1"/>
    </font>
    <font>
      <b/>
      <sz val="16"/>
      <color rgb="FFFFFFFF"/>
      <name val="Arial"/>
      <charset val="1"/>
    </font>
    <font>
      <sz val="10"/>
      <color rgb="FF27AE6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  <font>
      <b/>
      <sz val="10"/>
      <color rgb="FF0F7B6C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1A1A2E"/>
      </patternFill>
    </fill>
    <fill>
      <patternFill patternType="solid">
        <fgColor rgb="FF0F7B6C"/>
        <bgColor rgb="FF1F6B42"/>
      </patternFill>
    </fill>
    <fill>
      <patternFill patternType="solid">
        <fgColor rgb="FFC0392B"/>
        <bgColor rgb="FFAB4744"/>
      </patternFill>
    </fill>
    <fill>
      <patternFill patternType="solid">
        <fgColor rgb="FFFFFFFF"/>
        <bgColor rgb="FFF9F9F9"/>
      </patternFill>
    </fill>
    <fill>
      <patternFill patternType="solid">
        <fgColor rgb="FFEAF4FF"/>
        <bgColor rgb="FFF9F9F9"/>
      </patternFill>
    </fill>
    <fill>
      <patternFill patternType="solid">
        <fgColor rgb="FF8E44AD"/>
        <bgColor rgb="FF725990"/>
      </patternFill>
    </fill>
    <fill>
      <patternFill patternType="solid">
        <fgColor rgb="FFE67E22"/>
        <bgColor rgb="FFDC853E"/>
      </patternFill>
    </fill>
    <fill>
      <patternFill patternType="solid">
        <fgColor rgb="FFFFF9C4"/>
        <bgColor rgb="FFFFFF99"/>
      </patternFill>
    </fill>
    <fill>
      <patternFill patternType="solid">
        <fgColor rgb="FF27AE60"/>
        <bgColor rgb="FF2ECC71"/>
      </patternFill>
    </fill>
  </fills>
  <borders count="2">
    <border>
      <left/>
      <right/>
      <top/>
      <bottom/>
      <diagonal/>
    </border>
    <border>
      <left style="thin">
        <color rgb="FFD0DCE8"/>
      </left>
      <right style="thin">
        <color rgb="FFD0DCE8"/>
      </right>
      <top style="thin">
        <color rgb="FFD0DCE8"/>
      </top>
      <bottom style="thin">
        <color rgb="FFD0DCE8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0" fillId="2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0" fillId="5" borderId="1" xfId="0" applyFill="1" applyBorder="1"/>
    <xf numFmtId="164" fontId="0" fillId="5" borderId="1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  <xf numFmtId="0" fontId="5" fillId="8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/>
    </xf>
    <xf numFmtId="164" fontId="19" fillId="9" borderId="1" xfId="0" applyNumberFormat="1" applyFont="1" applyFill="1" applyBorder="1" applyAlignment="1">
      <alignment horizontal="right" vertical="center"/>
    </xf>
    <xf numFmtId="164" fontId="18" fillId="5" borderId="1" xfId="0" applyNumberFormat="1" applyFont="1" applyFill="1" applyBorder="1" applyAlignment="1">
      <alignment horizontal="right" vertical="center"/>
    </xf>
    <xf numFmtId="166" fontId="18" fillId="5" borderId="1" xfId="0" applyNumberFormat="1" applyFont="1" applyFill="1" applyBorder="1" applyAlignment="1">
      <alignment horizontal="right" vertical="center"/>
    </xf>
    <xf numFmtId="165" fontId="18" fillId="5" borderId="1" xfId="0" applyNumberFormat="1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left" vertical="center"/>
    </xf>
    <xf numFmtId="164" fontId="18" fillId="6" borderId="1" xfId="0" applyNumberFormat="1" applyFont="1" applyFill="1" applyBorder="1" applyAlignment="1">
      <alignment horizontal="right" vertical="center"/>
    </xf>
    <xf numFmtId="166" fontId="18" fillId="6" borderId="1" xfId="0" applyNumberFormat="1" applyFont="1" applyFill="1" applyBorder="1" applyAlignment="1">
      <alignment horizontal="right" vertical="center"/>
    </xf>
    <xf numFmtId="165" fontId="18" fillId="6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right" vertical="center"/>
    </xf>
    <xf numFmtId="166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23" fillId="6" borderId="0" xfId="0" applyFont="1" applyFill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6" fillId="10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392B"/>
      <rgbColor rgb="FF00FF00"/>
      <rgbColor rgb="FF0000FF"/>
      <rgbColor rgb="FFFFFF00"/>
      <rgbColor rgb="FFFF00FF"/>
      <rgbColor rgb="FF00FFFF"/>
      <rgbColor rgb="FF800000"/>
      <rgbColor rgb="FF1F6B42"/>
      <rgbColor rgb="FF000080"/>
      <rgbColor rgb="FF8AA64F"/>
      <rgbColor rgb="FF800080"/>
      <rgbColor rgb="FF0F7B6C"/>
      <rgbColor rgb="FFD9D9D9"/>
      <rgbColor rgb="FF878787"/>
      <rgbColor rgb="FF93A9CE"/>
      <rgbColor rgb="FFAB4744"/>
      <rgbColor rgb="FFFFF9C4"/>
      <rgbColor rgb="FFEAF4FF"/>
      <rgbColor rgb="FF660066"/>
      <rgbColor rgb="FFDC853E"/>
      <rgbColor rgb="FF4F81BD"/>
      <rgbColor rgb="FFCCDDEE"/>
      <rgbColor rgb="FF000080"/>
      <rgbColor rgb="FFFF00FF"/>
      <rgbColor rgb="FFFFFF00"/>
      <rgbColor rgb="FF00FFFF"/>
      <rgbColor rgb="FF800080"/>
      <rgbColor rgb="FF800000"/>
      <rgbColor rgb="FF1A7FBB"/>
      <rgbColor rgb="FF0000FF"/>
      <rgbColor rgb="FF4299B0"/>
      <rgbColor rgb="FFF9F9F9"/>
      <rgbColor rgb="FFD0DCE8"/>
      <rgbColor rgb="FFFFFF99"/>
      <rgbColor rgb="FF99CCFF"/>
      <rgbColor rgb="FFD09493"/>
      <rgbColor rgb="FFCC99FF"/>
      <rgbColor rgb="FFFFCC99"/>
      <rgbColor rgb="FF4672A8"/>
      <rgbColor rgb="FF2ECC71"/>
      <rgbColor rgb="FF99CC00"/>
      <rgbColor rgb="FFFFCC00"/>
      <rgbColor rgb="FFFF9900"/>
      <rgbColor rgb="FFE67E22"/>
      <rgbColor rgb="FF725990"/>
      <rgbColor rgb="FF7F8C8D"/>
      <rgbColor rgb="FF003366"/>
      <rgbColor rgb="FF27AE60"/>
      <rgbColor rgb="FF003300"/>
      <rgbColor rgb="FF1A1A2E"/>
      <rgbColor rgb="FF922B21"/>
      <rgbColor rgb="FF8E44AD"/>
      <rgbColor rgb="FF6C757D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419" sz="1800" b="1" strike="noStrike" spc="-1">
                <a:solidFill>
                  <a:srgbClr val="000000"/>
                </a:solidFill>
                <a:latin typeface="Calibri"/>
              </a:rPr>
              <a:t>Distribución de Gastos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'📈 Análisis'!$B$4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F6B-4807-BC99-C905CB93A2E5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F6B-4807-BC99-C905CB93A2E5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F6B-4807-BC99-C905CB93A2E5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F6B-4807-BC99-C905CB93A2E5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3F6B-4807-BC99-C905CB93A2E5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3F6B-4807-BC99-C905CB93A2E5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3F6B-4807-BC99-C905CB93A2E5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3F6B-4807-BC99-C905CB93A2E5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419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F6B-4807-BC99-C905CB93A2E5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419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F6B-4807-BC99-C905CB93A2E5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419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F6B-4807-BC99-C905CB93A2E5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419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F6B-4807-BC99-C905CB93A2E5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419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3F6B-4807-BC99-C905CB93A2E5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419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3F6B-4807-BC99-C905CB93A2E5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419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3F6B-4807-BC99-C905CB93A2E5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419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3F6B-4807-BC99-C905CB93A2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'📈 Análisis'!$A$5:$A$12</c:f>
              <c:strCache>
                <c:ptCount val="8"/>
                <c:pt idx="0">
                  <c:v>Vivienda</c:v>
                </c:pt>
                <c:pt idx="1">
                  <c:v>Deudas</c:v>
                </c:pt>
                <c:pt idx="2">
                  <c:v>Entretenimiento</c:v>
                </c:pt>
                <c:pt idx="3">
                  <c:v>Salud</c:v>
                </c:pt>
                <c:pt idx="4">
                  <c:v>Salidas</c:v>
                </c:pt>
                <c:pt idx="5">
                  <c:v>Educación</c:v>
                </c:pt>
                <c:pt idx="6">
                  <c:v>Otros</c:v>
                </c:pt>
                <c:pt idx="7">
                  <c:v>Ahorro</c:v>
                </c:pt>
              </c:strCache>
            </c:strRef>
          </c:cat>
          <c:val>
            <c:numRef>
              <c:f>'📈 Análisis'!$B$5:$B$12</c:f>
              <c:numCache>
                <c:formatCode>"$ "#,##0</c:formatCode>
                <c:ptCount val="8"/>
                <c:pt idx="0">
                  <c:v>700000</c:v>
                </c:pt>
                <c:pt idx="1">
                  <c:v>70000</c:v>
                </c:pt>
                <c:pt idx="2">
                  <c:v>140000</c:v>
                </c:pt>
                <c:pt idx="3">
                  <c:v>0</c:v>
                </c:pt>
                <c:pt idx="4">
                  <c:v>100000</c:v>
                </c:pt>
                <c:pt idx="5">
                  <c:v>438000</c:v>
                </c:pt>
                <c:pt idx="6">
                  <c:v>0</c:v>
                </c:pt>
                <c:pt idx="7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F6B-4807-BC99-C905CB93A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419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419" sz="1800" b="1" strike="noStrike" spc="-1">
                <a:solidFill>
                  <a:srgbClr val="000000"/>
                </a:solidFill>
                <a:latin typeface="Calibri"/>
              </a:rPr>
              <a:t>Ingresos vs Egresos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Análisis'!$B$17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Análisis'!$A$18:$A$19</c:f>
              <c:strCache>
                <c:ptCount val="2"/>
                <c:pt idx="0">
                  <c:v>Ingresos</c:v>
                </c:pt>
                <c:pt idx="1">
                  <c:v>Egresos</c:v>
                </c:pt>
              </c:strCache>
            </c:strRef>
          </c:cat>
          <c:val>
            <c:numRef>
              <c:f>'📈 Análisis'!$B$18:$B$19</c:f>
              <c:numCache>
                <c:formatCode>"$ "#,##0</c:formatCode>
                <c:ptCount val="2"/>
                <c:pt idx="0">
                  <c:v>2853000</c:v>
                </c:pt>
                <c:pt idx="1">
                  <c:v>1528000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1-4E73-B310-247BEED96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490087"/>
        <c:axId val="88614501"/>
      </c:barChart>
      <c:catAx>
        <c:axId val="53490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419"/>
          </a:p>
        </c:txPr>
        <c:crossAx val="88614501"/>
        <c:crosses val="autoZero"/>
        <c:auto val="1"/>
        <c:lblAlgn val="ctr"/>
        <c:lblOffset val="100"/>
        <c:noMultiLvlLbl val="0"/>
      </c:catAx>
      <c:valAx>
        <c:axId val="886145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419"/>
          </a:p>
        </c:txPr>
        <c:crossAx val="534900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419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</xdr:colOff>
      <xdr:row>1</xdr:row>
      <xdr:rowOff>85725</xdr:rowOff>
    </xdr:from>
    <xdr:to>
      <xdr:col>5</xdr:col>
      <xdr:colOff>952500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114300</xdr:colOff>
      <xdr:row>1</xdr:row>
      <xdr:rowOff>82550</xdr:rowOff>
    </xdr:from>
    <xdr:to>
      <xdr:col>14</xdr:col>
      <xdr:colOff>284215</xdr:colOff>
      <xdr:row>16</xdr:row>
      <xdr:rowOff>132615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B6C"/>
  </sheetPr>
  <dimension ref="B1:G59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2" customWidth="1"/>
    <col min="3" max="6" width="16" customWidth="1"/>
    <col min="7" max="7" width="14" customWidth="1"/>
    <col min="8" max="8" width="2" customWidth="1"/>
  </cols>
  <sheetData>
    <row r="1" spans="2:7" ht="7.5" customHeight="1" x14ac:dyDescent="0.35"/>
    <row r="2" spans="2:7" ht="51.75" customHeight="1" x14ac:dyDescent="0.35">
      <c r="B2" s="14" t="s">
        <v>0</v>
      </c>
      <c r="C2" s="14"/>
      <c r="D2" s="14"/>
      <c r="E2" s="14"/>
      <c r="F2" s="14"/>
      <c r="G2" s="14"/>
    </row>
    <row r="3" spans="2:7" ht="9.75" customHeight="1" x14ac:dyDescent="0.35"/>
    <row r="4" spans="2:7" ht="24" customHeight="1" x14ac:dyDescent="0.35">
      <c r="B4" s="13" t="s">
        <v>1</v>
      </c>
      <c r="C4" s="13"/>
      <c r="D4" s="12" t="s">
        <v>2</v>
      </c>
      <c r="E4" s="12"/>
      <c r="F4" s="11" t="s">
        <v>3</v>
      </c>
      <c r="G4" s="11"/>
    </row>
    <row r="5" spans="2:7" ht="9.75" customHeight="1" x14ac:dyDescent="0.35"/>
    <row r="6" spans="2:7" ht="36" customHeight="1" x14ac:dyDescent="0.35">
      <c r="B6" s="10">
        <f>Transacciones!C2</f>
        <v>2853000</v>
      </c>
      <c r="C6" s="10"/>
      <c r="D6" s="9">
        <f>Transacciones!C3</f>
        <v>1528000</v>
      </c>
      <c r="E6" s="9"/>
      <c r="F6" s="8">
        <f>Transacciones!C4</f>
        <v>1325000</v>
      </c>
      <c r="G6" s="8"/>
    </row>
    <row r="7" spans="2:7" ht="7.5" customHeight="1" x14ac:dyDescent="0.35"/>
    <row r="8" spans="2:7" ht="25.5" customHeight="1" x14ac:dyDescent="0.35">
      <c r="B8" s="7" t="s">
        <v>4</v>
      </c>
      <c r="C8" s="7"/>
      <c r="D8" s="7"/>
      <c r="E8" s="7"/>
      <c r="F8" s="7"/>
      <c r="G8" s="7"/>
    </row>
    <row r="9" spans="2:7" ht="21.75" customHeight="1" x14ac:dyDescent="0.35">
      <c r="B9" s="15" t="s">
        <v>5</v>
      </c>
      <c r="C9" s="15" t="s">
        <v>6</v>
      </c>
      <c r="D9" s="15" t="s">
        <v>7</v>
      </c>
      <c r="E9" s="15" t="s">
        <v>8</v>
      </c>
      <c r="F9" s="15" t="s">
        <v>9</v>
      </c>
    </row>
    <row r="10" spans="2:7" ht="19.5" customHeight="1" x14ac:dyDescent="0.35">
      <c r="B10" s="16" t="s">
        <v>10</v>
      </c>
      <c r="C10" s="17">
        <f>SUMIF(Transacciones!E:E,"Vivienda",Transacciones!D:D)</f>
        <v>700000</v>
      </c>
      <c r="D10" s="18">
        <f>IF(Transacciones!C3&gt;0,C10/Transacciones!C3,0)</f>
        <v>0.45811518324607331</v>
      </c>
      <c r="E10" s="19">
        <f>C10-IFERROR(VLOOKUP("Vivienda",Presupuesto!A:B,2,0),0)</f>
        <v>-500000</v>
      </c>
      <c r="F10" s="20" t="str">
        <f t="shared" ref="F10:F17" si="0">IF(E10&lt;=0,"✅ OK","⚠️ Excedido")</f>
        <v>✅ OK</v>
      </c>
    </row>
    <row r="11" spans="2:7" ht="19.5" customHeight="1" x14ac:dyDescent="0.35">
      <c r="B11" s="21" t="s">
        <v>11</v>
      </c>
      <c r="C11" s="22">
        <f>SUMIF(Transacciones!E:E,"Deudas",Transacciones!D:D)</f>
        <v>70000</v>
      </c>
      <c r="D11" s="23">
        <f>IF(Transacciones!C3&gt;0,C11/Transacciones!C3,0)</f>
        <v>4.581151832460733E-2</v>
      </c>
      <c r="E11" s="24">
        <f>C11-IFERROR(VLOOKUP("Deudas",Presupuesto!A:B,2,0),0)</f>
        <v>-230000</v>
      </c>
      <c r="F11" s="25" t="str">
        <f t="shared" si="0"/>
        <v>✅ OK</v>
      </c>
    </row>
    <row r="12" spans="2:7" ht="19.5" customHeight="1" x14ac:dyDescent="0.35">
      <c r="B12" s="26" t="s">
        <v>12</v>
      </c>
      <c r="C12" s="17">
        <f>SUMIF(Transacciones!E:E,"Entretenimiento",Transacciones!D:D)</f>
        <v>140000</v>
      </c>
      <c r="D12" s="18">
        <f>IF(Transacciones!C3&gt;0,C12/Transacciones!C3,0)</f>
        <v>9.1623036649214659E-2</v>
      </c>
      <c r="E12" s="19">
        <f>C12-IFERROR(VLOOKUP("Entretenimiento",Presupuesto!A:B,2,0),0)</f>
        <v>40000</v>
      </c>
      <c r="F12" s="20" t="str">
        <f t="shared" si="0"/>
        <v>⚠️ Excedido</v>
      </c>
    </row>
    <row r="13" spans="2:7" ht="19.5" customHeight="1" x14ac:dyDescent="0.35">
      <c r="B13" s="27" t="s">
        <v>13</v>
      </c>
      <c r="C13" s="22">
        <f>SUMIF(Transacciones!E:E,"Salud",Transacciones!D:D)</f>
        <v>0</v>
      </c>
      <c r="D13" s="23">
        <f>IF(Transacciones!C3&gt;0,C13/Transacciones!C3,0)</f>
        <v>0</v>
      </c>
      <c r="E13" s="24">
        <f>C13-IFERROR(VLOOKUP("Salud",Presupuesto!A:B,2,0),0)</f>
        <v>-50000</v>
      </c>
      <c r="F13" s="25" t="str">
        <f t="shared" si="0"/>
        <v>✅ OK</v>
      </c>
    </row>
    <row r="14" spans="2:7" ht="19.5" customHeight="1" x14ac:dyDescent="0.35">
      <c r="B14" s="28" t="s">
        <v>14</v>
      </c>
      <c r="C14" s="17">
        <f>SUMIF(Transacciones!E:E,"Salidas",Transacciones!D:D)</f>
        <v>100000</v>
      </c>
      <c r="D14" s="18">
        <f>IF(Transacciones!C3&gt;0,C14/Transacciones!C3,0)</f>
        <v>6.5445026178010471E-2</v>
      </c>
      <c r="E14" s="19">
        <f>C14-IFERROR(VLOOKUP("Salidas",Presupuesto!A:B,2,0),0)</f>
        <v>-400000</v>
      </c>
      <c r="F14" s="20" t="str">
        <f t="shared" si="0"/>
        <v>✅ OK</v>
      </c>
    </row>
    <row r="15" spans="2:7" ht="19.5" customHeight="1" x14ac:dyDescent="0.35">
      <c r="B15" s="29" t="s">
        <v>15</v>
      </c>
      <c r="C15" s="22">
        <f>SUMIF(Transacciones!E:E,"Educación",Transacciones!D:D)</f>
        <v>438000</v>
      </c>
      <c r="D15" s="23">
        <f>IF(Transacciones!C3&gt;0,C15/Transacciones!C3,0)</f>
        <v>0.28664921465968585</v>
      </c>
      <c r="E15" s="24">
        <f>C15-IFERROR(VLOOKUP("Educación",Presupuesto!A:B,2,0),0)</f>
        <v>358000</v>
      </c>
      <c r="F15" s="25" t="str">
        <f t="shared" si="0"/>
        <v>⚠️ Excedido</v>
      </c>
    </row>
    <row r="16" spans="2:7" ht="19.5" customHeight="1" x14ac:dyDescent="0.35">
      <c r="B16" s="30" t="s">
        <v>16</v>
      </c>
      <c r="C16" s="17">
        <f>SUMIF(Transacciones!E:E,"Otros",Transacciones!D:D)</f>
        <v>0</v>
      </c>
      <c r="D16" s="18">
        <f>IF(Transacciones!C3&gt;0,C16/Transacciones!C3,0)</f>
        <v>0</v>
      </c>
      <c r="E16" s="19">
        <f>C16-IFERROR(VLOOKUP("Otros",Presupuesto!A:B,2,0),0)</f>
        <v>-50000</v>
      </c>
      <c r="F16" s="20" t="str">
        <f t="shared" si="0"/>
        <v>✅ OK</v>
      </c>
    </row>
    <row r="17" spans="2:7" ht="19.5" customHeight="1" x14ac:dyDescent="0.35">
      <c r="B17" s="31" t="s">
        <v>17</v>
      </c>
      <c r="C17" s="22">
        <f>SUMIF(Transacciones!E:E,"Ahorro",Transacciones!D:D)</f>
        <v>80000</v>
      </c>
      <c r="D17" s="23">
        <f>IF(Transacciones!C3&gt;0,C17/Transacciones!C3,0)</f>
        <v>5.2356020942408377E-2</v>
      </c>
      <c r="E17" s="24">
        <f>C17-IFERROR(VLOOKUP("Ahorro",Presupuesto!A:B,2,0),0)</f>
        <v>-120000</v>
      </c>
      <c r="F17" s="25" t="str">
        <f t="shared" si="0"/>
        <v>✅ OK</v>
      </c>
    </row>
    <row r="18" spans="2:7" ht="21.75" customHeight="1" x14ac:dyDescent="0.35">
      <c r="B18" s="32" t="s">
        <v>18</v>
      </c>
      <c r="C18" s="33">
        <f>SUM(C10:C17)</f>
        <v>1528000</v>
      </c>
      <c r="D18" s="34">
        <f>SUM(D10:D17)</f>
        <v>1</v>
      </c>
    </row>
    <row r="19" spans="2:7" ht="24" customHeight="1" x14ac:dyDescent="0.35"/>
    <row r="20" spans="2:7" ht="9.75" customHeight="1" x14ac:dyDescent="0.35">
      <c r="B20" s="6" t="s">
        <v>19</v>
      </c>
      <c r="C20" s="6"/>
      <c r="D20" s="6"/>
      <c r="E20" s="6"/>
      <c r="F20" s="6"/>
      <c r="G20" s="6"/>
    </row>
    <row r="21" spans="2:7" ht="18" customHeight="1" x14ac:dyDescent="0.35"/>
    <row r="22" spans="2:7" ht="18" customHeight="1" x14ac:dyDescent="0.35"/>
    <row r="23" spans="2:7" ht="18" customHeight="1" x14ac:dyDescent="0.35"/>
    <row r="24" spans="2:7" ht="18" customHeight="1" x14ac:dyDescent="0.35"/>
    <row r="25" spans="2:7" ht="18" customHeight="1" x14ac:dyDescent="0.35"/>
    <row r="26" spans="2:7" ht="18" customHeight="1" x14ac:dyDescent="0.35"/>
    <row r="27" spans="2:7" ht="18" customHeight="1" x14ac:dyDescent="0.35"/>
    <row r="28" spans="2:7" ht="18" customHeight="1" x14ac:dyDescent="0.35"/>
    <row r="29" spans="2:7" ht="18" customHeight="1" x14ac:dyDescent="0.35"/>
    <row r="30" spans="2:7" ht="18" customHeight="1" x14ac:dyDescent="0.35"/>
    <row r="31" spans="2:7" ht="18" customHeight="1" x14ac:dyDescent="0.35"/>
    <row r="32" spans="2:7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</sheetData>
  <mergeCells count="9">
    <mergeCell ref="B8:G8"/>
    <mergeCell ref="B20:G20"/>
    <mergeCell ref="B2:G2"/>
    <mergeCell ref="B4:C4"/>
    <mergeCell ref="D4:E4"/>
    <mergeCell ref="F4:G4"/>
    <mergeCell ref="B6:C6"/>
    <mergeCell ref="D6:E6"/>
    <mergeCell ref="F6:G6"/>
  </mergeCells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E44AD"/>
  </sheetPr>
  <dimension ref="A1:G68"/>
  <sheetViews>
    <sheetView showGridLines="0" zoomScaleNormal="100" workbookViewId="0">
      <selection activeCell="E10" sqref="E10"/>
    </sheetView>
  </sheetViews>
  <sheetFormatPr defaultColWidth="8.6328125" defaultRowHeight="14.5" x14ac:dyDescent="0.35"/>
  <cols>
    <col min="1" max="1" width="14" customWidth="1"/>
    <col min="2" max="2" width="12" customWidth="1"/>
    <col min="3" max="3" width="26" customWidth="1"/>
    <col min="4" max="4" width="16" customWidth="1"/>
    <col min="5" max="5" width="18" customWidth="1"/>
    <col min="6" max="6" width="22" customWidth="1"/>
    <col min="7" max="7" width="30" customWidth="1"/>
  </cols>
  <sheetData>
    <row r="1" spans="1:7" ht="15" customHeight="1" x14ac:dyDescent="0.35">
      <c r="A1" t="s">
        <v>20</v>
      </c>
      <c r="B1" t="s">
        <v>21</v>
      </c>
    </row>
    <row r="2" spans="1:7" ht="15" customHeight="1" x14ac:dyDescent="0.35">
      <c r="A2" t="s">
        <v>20</v>
      </c>
      <c r="C2">
        <f>SUMIF(B5:B10000,"Ingreso",D5:D10000)</f>
        <v>2853000</v>
      </c>
    </row>
    <row r="3" spans="1:7" ht="15" customHeight="1" x14ac:dyDescent="0.35">
      <c r="A3" t="s">
        <v>22</v>
      </c>
      <c r="C3">
        <f>SUMIF(B5:B10000,"Gasto",D5:D10000)</f>
        <v>1528000</v>
      </c>
    </row>
    <row r="4" spans="1:7" ht="15" customHeight="1" x14ac:dyDescent="0.35">
      <c r="A4" t="s">
        <v>23</v>
      </c>
      <c r="C4">
        <f>C2-C3</f>
        <v>1325000</v>
      </c>
    </row>
    <row r="5" spans="1:7" ht="33.75" customHeight="1" x14ac:dyDescent="0.35">
      <c r="A5" s="5" t="s">
        <v>24</v>
      </c>
      <c r="B5" s="5"/>
      <c r="C5" s="5"/>
      <c r="D5" s="5"/>
      <c r="E5" s="5"/>
      <c r="F5" s="5"/>
      <c r="G5" s="5"/>
    </row>
    <row r="6" spans="1:7" ht="21.75" customHeight="1" x14ac:dyDescent="0.35">
      <c r="A6" s="35" t="s">
        <v>25</v>
      </c>
      <c r="B6" s="35" t="s">
        <v>26</v>
      </c>
      <c r="C6" s="35" t="s">
        <v>27</v>
      </c>
      <c r="D6" s="35" t="s">
        <v>28</v>
      </c>
      <c r="E6" s="35" t="s">
        <v>5</v>
      </c>
      <c r="F6" s="35" t="s">
        <v>29</v>
      </c>
      <c r="G6" s="35" t="s">
        <v>30</v>
      </c>
    </row>
    <row r="7" spans="1:7" ht="18.75" customHeight="1" x14ac:dyDescent="0.35">
      <c r="A7" s="25" t="s">
        <v>31</v>
      </c>
      <c r="B7" s="36" t="s">
        <v>32</v>
      </c>
      <c r="C7" s="37" t="s">
        <v>33</v>
      </c>
      <c r="D7" s="38">
        <v>80000</v>
      </c>
      <c r="E7" s="25" t="s">
        <v>33</v>
      </c>
      <c r="F7" s="25" t="s">
        <v>34</v>
      </c>
      <c r="G7" s="37"/>
    </row>
    <row r="8" spans="1:7" ht="18.75" customHeight="1" x14ac:dyDescent="0.35">
      <c r="A8" s="20" t="s">
        <v>31</v>
      </c>
      <c r="B8" s="39" t="s">
        <v>32</v>
      </c>
      <c r="C8" s="40" t="s">
        <v>35</v>
      </c>
      <c r="D8" s="41">
        <v>70000</v>
      </c>
      <c r="E8" s="20" t="s">
        <v>36</v>
      </c>
      <c r="F8" s="20" t="s">
        <v>37</v>
      </c>
      <c r="G8" s="40"/>
    </row>
    <row r="9" spans="1:7" ht="18.75" customHeight="1" x14ac:dyDescent="0.35">
      <c r="A9" s="25" t="s">
        <v>31</v>
      </c>
      <c r="B9" s="36" t="s">
        <v>32</v>
      </c>
      <c r="C9" s="37" t="s">
        <v>38</v>
      </c>
      <c r="D9" s="38">
        <v>140000</v>
      </c>
      <c r="E9" s="25" t="s">
        <v>39</v>
      </c>
      <c r="F9" s="25" t="s">
        <v>40</v>
      </c>
      <c r="G9" s="37" t="s">
        <v>41</v>
      </c>
    </row>
    <row r="10" spans="1:7" ht="18.75" customHeight="1" x14ac:dyDescent="0.35">
      <c r="A10" s="20" t="s">
        <v>31</v>
      </c>
      <c r="B10" s="39" t="s">
        <v>32</v>
      </c>
      <c r="C10" s="40" t="s">
        <v>42</v>
      </c>
      <c r="D10" s="41">
        <v>72000</v>
      </c>
      <c r="E10" s="20" t="s">
        <v>43</v>
      </c>
      <c r="F10" s="20" t="s">
        <v>34</v>
      </c>
      <c r="G10" s="40" t="s">
        <v>44</v>
      </c>
    </row>
    <row r="11" spans="1:7" ht="18.75" customHeight="1" x14ac:dyDescent="0.35">
      <c r="A11" s="25" t="s">
        <v>45</v>
      </c>
      <c r="B11" s="36" t="s">
        <v>32</v>
      </c>
      <c r="C11" s="37" t="s">
        <v>46</v>
      </c>
      <c r="D11" s="38">
        <v>450000</v>
      </c>
      <c r="E11" s="25" t="s">
        <v>43</v>
      </c>
      <c r="F11" s="25" t="s">
        <v>37</v>
      </c>
      <c r="G11" s="37"/>
    </row>
    <row r="12" spans="1:7" ht="18.75" customHeight="1" x14ac:dyDescent="0.35">
      <c r="A12" s="20" t="s">
        <v>45</v>
      </c>
      <c r="B12" s="39" t="s">
        <v>32</v>
      </c>
      <c r="C12" s="40" t="s">
        <v>47</v>
      </c>
      <c r="D12" s="41">
        <v>100000</v>
      </c>
      <c r="E12" s="20" t="s">
        <v>48</v>
      </c>
      <c r="F12" s="20" t="s">
        <v>37</v>
      </c>
      <c r="G12" s="40"/>
    </row>
    <row r="13" spans="1:7" ht="18.75" customHeight="1" x14ac:dyDescent="0.35">
      <c r="A13" s="25" t="s">
        <v>49</v>
      </c>
      <c r="B13" s="36" t="s">
        <v>32</v>
      </c>
      <c r="C13" s="37" t="s">
        <v>50</v>
      </c>
      <c r="D13" s="38">
        <v>178000</v>
      </c>
      <c r="E13" s="25" t="s">
        <v>43</v>
      </c>
      <c r="F13" s="25" t="s">
        <v>37</v>
      </c>
      <c r="G13" s="37"/>
    </row>
    <row r="14" spans="1:7" ht="18.75" customHeight="1" x14ac:dyDescent="0.35">
      <c r="A14" s="20" t="s">
        <v>51</v>
      </c>
      <c r="B14" s="39" t="s">
        <v>32</v>
      </c>
      <c r="C14" s="40" t="s">
        <v>52</v>
      </c>
      <c r="D14" s="41">
        <v>438000</v>
      </c>
      <c r="E14" s="20" t="s">
        <v>53</v>
      </c>
      <c r="F14" s="20" t="s">
        <v>34</v>
      </c>
      <c r="G14" s="40" t="s">
        <v>54</v>
      </c>
    </row>
    <row r="15" spans="1:7" ht="18.75" customHeight="1" x14ac:dyDescent="0.35">
      <c r="A15" s="25" t="s">
        <v>55</v>
      </c>
      <c r="B15" s="42" t="s">
        <v>56</v>
      </c>
      <c r="C15" s="37" t="s">
        <v>57</v>
      </c>
      <c r="D15" s="38">
        <v>2853000</v>
      </c>
      <c r="E15" s="42" t="s">
        <v>56</v>
      </c>
      <c r="F15" s="25" t="s">
        <v>34</v>
      </c>
      <c r="G15" s="37" t="s">
        <v>58</v>
      </c>
    </row>
    <row r="16" spans="1:7" ht="18.75" customHeight="1" x14ac:dyDescent="0.35">
      <c r="A16" s="43"/>
      <c r="B16" s="43"/>
      <c r="C16" s="43"/>
      <c r="D16" s="44"/>
      <c r="E16" s="43"/>
      <c r="F16" s="43"/>
      <c r="G16" s="43"/>
    </row>
    <row r="17" spans="1:7" ht="18.75" customHeight="1" x14ac:dyDescent="0.35">
      <c r="A17" s="45"/>
      <c r="B17" s="45"/>
      <c r="C17" s="45"/>
      <c r="D17" s="46"/>
      <c r="E17" s="45"/>
      <c r="F17" s="45"/>
      <c r="G17" s="45"/>
    </row>
    <row r="18" spans="1:7" ht="18.75" customHeight="1" x14ac:dyDescent="0.35">
      <c r="A18" s="43"/>
      <c r="B18" s="43"/>
      <c r="C18" s="43"/>
      <c r="D18" s="44"/>
      <c r="E18" s="43"/>
      <c r="F18" s="43"/>
      <c r="G18" s="43"/>
    </row>
    <row r="19" spans="1:7" ht="18.75" customHeight="1" x14ac:dyDescent="0.35">
      <c r="A19" s="45"/>
      <c r="B19" s="45"/>
      <c r="C19" s="45"/>
      <c r="D19" s="46"/>
      <c r="E19" s="45"/>
      <c r="F19" s="45"/>
      <c r="G19" s="45"/>
    </row>
    <row r="20" spans="1:7" ht="18.75" customHeight="1" x14ac:dyDescent="0.35">
      <c r="A20" s="43"/>
      <c r="B20" s="43"/>
      <c r="C20" s="43"/>
      <c r="D20" s="44"/>
      <c r="E20" s="43"/>
      <c r="F20" s="43"/>
      <c r="G20" s="43"/>
    </row>
    <row r="21" spans="1:7" ht="18.75" customHeight="1" x14ac:dyDescent="0.35">
      <c r="A21" s="45"/>
      <c r="B21" s="45"/>
      <c r="C21" s="45"/>
      <c r="D21" s="46"/>
      <c r="E21" s="45"/>
      <c r="F21" s="45"/>
      <c r="G21" s="45"/>
    </row>
    <row r="22" spans="1:7" ht="18.75" customHeight="1" x14ac:dyDescent="0.35">
      <c r="A22" s="43"/>
      <c r="B22" s="43"/>
      <c r="C22" s="43"/>
      <c r="D22" s="44"/>
      <c r="E22" s="43"/>
      <c r="F22" s="43"/>
      <c r="G22" s="43"/>
    </row>
    <row r="23" spans="1:7" ht="18.75" customHeight="1" x14ac:dyDescent="0.35">
      <c r="A23" s="45"/>
      <c r="B23" s="45"/>
      <c r="C23" s="45"/>
      <c r="D23" s="46"/>
      <c r="E23" s="45"/>
      <c r="F23" s="45"/>
      <c r="G23" s="45"/>
    </row>
    <row r="24" spans="1:7" ht="18.75" customHeight="1" x14ac:dyDescent="0.35">
      <c r="A24" s="43"/>
      <c r="B24" s="43"/>
      <c r="C24" s="43"/>
      <c r="D24" s="44"/>
      <c r="E24" s="43"/>
      <c r="F24" s="43"/>
      <c r="G24" s="43"/>
    </row>
    <row r="25" spans="1:7" ht="18.75" customHeight="1" x14ac:dyDescent="0.35">
      <c r="A25" s="45"/>
      <c r="B25" s="45"/>
      <c r="C25" s="45"/>
      <c r="D25" s="46"/>
      <c r="E25" s="45"/>
      <c r="F25" s="45"/>
      <c r="G25" s="45"/>
    </row>
    <row r="26" spans="1:7" ht="18.75" customHeight="1" x14ac:dyDescent="0.35">
      <c r="A26" s="43"/>
      <c r="B26" s="43"/>
      <c r="C26" s="43"/>
      <c r="D26" s="44"/>
      <c r="E26" s="43"/>
      <c r="F26" s="43"/>
      <c r="G26" s="43"/>
    </row>
    <row r="27" spans="1:7" ht="18.75" customHeight="1" x14ac:dyDescent="0.35">
      <c r="A27" s="45"/>
      <c r="B27" s="45"/>
      <c r="C27" s="45"/>
      <c r="D27" s="46"/>
      <c r="E27" s="45"/>
      <c r="F27" s="45"/>
      <c r="G27" s="45"/>
    </row>
    <row r="28" spans="1:7" ht="18.75" customHeight="1" x14ac:dyDescent="0.35">
      <c r="A28" s="43"/>
      <c r="B28" s="43"/>
      <c r="C28" s="43"/>
      <c r="D28" s="44"/>
      <c r="E28" s="43"/>
      <c r="F28" s="43"/>
      <c r="G28" s="43"/>
    </row>
    <row r="29" spans="1:7" ht="18.75" customHeight="1" x14ac:dyDescent="0.35">
      <c r="A29" s="45"/>
      <c r="B29" s="45"/>
      <c r="C29" s="45"/>
      <c r="D29" s="46"/>
      <c r="E29" s="45"/>
      <c r="F29" s="45"/>
      <c r="G29" s="45"/>
    </row>
    <row r="30" spans="1:7" ht="18.75" customHeight="1" x14ac:dyDescent="0.35">
      <c r="A30" s="43"/>
      <c r="B30" s="43"/>
      <c r="C30" s="43"/>
      <c r="D30" s="44"/>
      <c r="E30" s="43"/>
      <c r="F30" s="43"/>
      <c r="G30" s="43"/>
    </row>
    <row r="31" spans="1:7" ht="18.75" customHeight="1" x14ac:dyDescent="0.35">
      <c r="A31" s="45"/>
      <c r="B31" s="45"/>
      <c r="C31" s="45"/>
      <c r="D31" s="46"/>
      <c r="E31" s="45"/>
      <c r="F31" s="45"/>
      <c r="G31" s="45"/>
    </row>
    <row r="32" spans="1:7" ht="18.75" customHeight="1" x14ac:dyDescent="0.35">
      <c r="A32" s="43"/>
      <c r="B32" s="43"/>
      <c r="C32" s="43"/>
      <c r="D32" s="44"/>
      <c r="E32" s="43"/>
      <c r="F32" s="43"/>
      <c r="G32" s="43"/>
    </row>
    <row r="33" spans="1:7" ht="18.75" customHeight="1" x14ac:dyDescent="0.35">
      <c r="A33" s="45"/>
      <c r="B33" s="45"/>
      <c r="C33" s="45"/>
      <c r="D33" s="46"/>
      <c r="E33" s="45"/>
      <c r="F33" s="45"/>
      <c r="G33" s="45"/>
    </row>
    <row r="34" spans="1:7" ht="18.75" customHeight="1" x14ac:dyDescent="0.35">
      <c r="A34" s="43"/>
      <c r="B34" s="43"/>
      <c r="C34" s="43"/>
      <c r="D34" s="44"/>
      <c r="E34" s="43"/>
      <c r="F34" s="43"/>
      <c r="G34" s="43"/>
    </row>
    <row r="35" spans="1:7" ht="18.75" customHeight="1" x14ac:dyDescent="0.35">
      <c r="A35" s="45"/>
      <c r="B35" s="45"/>
      <c r="C35" s="45"/>
      <c r="D35" s="46"/>
      <c r="E35" s="45"/>
      <c r="F35" s="45"/>
      <c r="G35" s="45"/>
    </row>
    <row r="36" spans="1:7" ht="18.75" customHeight="1" x14ac:dyDescent="0.35">
      <c r="A36" s="43"/>
      <c r="B36" s="43"/>
      <c r="C36" s="43"/>
      <c r="D36" s="44"/>
      <c r="E36" s="43"/>
      <c r="F36" s="43"/>
      <c r="G36" s="43"/>
    </row>
    <row r="37" spans="1:7" ht="18.75" customHeight="1" x14ac:dyDescent="0.35">
      <c r="A37" s="45"/>
      <c r="B37" s="45"/>
      <c r="C37" s="45"/>
      <c r="D37" s="46"/>
      <c r="E37" s="45"/>
      <c r="F37" s="45"/>
      <c r="G37" s="45"/>
    </row>
    <row r="38" spans="1:7" ht="18.75" customHeight="1" x14ac:dyDescent="0.35">
      <c r="A38" s="43"/>
      <c r="B38" s="43"/>
      <c r="C38" s="43"/>
      <c r="D38" s="44"/>
      <c r="E38" s="43"/>
      <c r="F38" s="43"/>
      <c r="G38" s="43"/>
    </row>
    <row r="39" spans="1:7" ht="18.75" customHeight="1" x14ac:dyDescent="0.35">
      <c r="A39" s="45"/>
      <c r="B39" s="45"/>
      <c r="C39" s="45"/>
      <c r="D39" s="46"/>
      <c r="E39" s="45"/>
      <c r="F39" s="45"/>
      <c r="G39" s="45"/>
    </row>
    <row r="40" spans="1:7" ht="18.75" customHeight="1" x14ac:dyDescent="0.35">
      <c r="A40" s="43"/>
      <c r="B40" s="43"/>
      <c r="C40" s="43"/>
      <c r="D40" s="44"/>
      <c r="E40" s="43"/>
      <c r="F40" s="43"/>
      <c r="G40" s="43"/>
    </row>
    <row r="41" spans="1:7" ht="18.75" customHeight="1" x14ac:dyDescent="0.35">
      <c r="A41" s="45"/>
      <c r="B41" s="45"/>
      <c r="C41" s="45"/>
      <c r="D41" s="46"/>
      <c r="E41" s="45"/>
      <c r="F41" s="45"/>
      <c r="G41" s="45"/>
    </row>
    <row r="42" spans="1:7" ht="18.75" customHeight="1" x14ac:dyDescent="0.35">
      <c r="A42" s="43"/>
      <c r="B42" s="43"/>
      <c r="C42" s="43"/>
      <c r="D42" s="44"/>
      <c r="E42" s="43"/>
      <c r="F42" s="43"/>
      <c r="G42" s="43"/>
    </row>
    <row r="43" spans="1:7" ht="18.75" customHeight="1" x14ac:dyDescent="0.35">
      <c r="A43" s="45"/>
      <c r="B43" s="45"/>
      <c r="C43" s="45"/>
      <c r="D43" s="46"/>
      <c r="E43" s="45"/>
      <c r="F43" s="45"/>
      <c r="G43" s="45"/>
    </row>
    <row r="44" spans="1:7" ht="18.75" customHeight="1" x14ac:dyDescent="0.35">
      <c r="A44" s="43"/>
      <c r="B44" s="43"/>
      <c r="C44" s="43"/>
      <c r="D44" s="44"/>
      <c r="E44" s="43"/>
      <c r="F44" s="43"/>
      <c r="G44" s="43"/>
    </row>
    <row r="45" spans="1:7" ht="18.75" customHeight="1" x14ac:dyDescent="0.35">
      <c r="A45" s="45"/>
      <c r="B45" s="45"/>
      <c r="C45" s="45"/>
      <c r="D45" s="46"/>
      <c r="E45" s="45"/>
      <c r="F45" s="45"/>
      <c r="G45" s="45"/>
    </row>
    <row r="46" spans="1:7" ht="18.75" customHeight="1" x14ac:dyDescent="0.35">
      <c r="A46" s="43"/>
      <c r="B46" s="43"/>
      <c r="C46" s="43"/>
      <c r="D46" s="44"/>
      <c r="E46" s="43"/>
      <c r="F46" s="43"/>
      <c r="G46" s="43"/>
    </row>
    <row r="47" spans="1:7" ht="18.75" customHeight="1" x14ac:dyDescent="0.35">
      <c r="A47" s="45"/>
      <c r="B47" s="45"/>
      <c r="C47" s="45"/>
      <c r="D47" s="46"/>
      <c r="E47" s="45"/>
      <c r="F47" s="45"/>
      <c r="G47" s="45"/>
    </row>
    <row r="48" spans="1:7" ht="18.75" customHeight="1" x14ac:dyDescent="0.35">
      <c r="A48" s="43"/>
      <c r="B48" s="43"/>
      <c r="C48" s="43"/>
      <c r="D48" s="44"/>
      <c r="E48" s="43"/>
      <c r="F48" s="43"/>
      <c r="G48" s="43"/>
    </row>
    <row r="49" spans="1:7" ht="18.75" customHeight="1" x14ac:dyDescent="0.35">
      <c r="A49" s="45"/>
      <c r="B49" s="45"/>
      <c r="C49" s="45"/>
      <c r="D49" s="46"/>
      <c r="E49" s="45"/>
      <c r="F49" s="45"/>
      <c r="G49" s="45"/>
    </row>
    <row r="50" spans="1:7" ht="18.75" customHeight="1" x14ac:dyDescent="0.35">
      <c r="A50" s="43"/>
      <c r="B50" s="43"/>
      <c r="C50" s="43"/>
      <c r="D50" s="44"/>
      <c r="E50" s="43"/>
      <c r="F50" s="43"/>
      <c r="G50" s="43"/>
    </row>
    <row r="51" spans="1:7" ht="18.75" customHeight="1" x14ac:dyDescent="0.35">
      <c r="A51" s="45"/>
      <c r="B51" s="45"/>
      <c r="C51" s="45"/>
      <c r="D51" s="46"/>
      <c r="E51" s="45"/>
      <c r="F51" s="45"/>
      <c r="G51" s="45"/>
    </row>
    <row r="52" spans="1:7" ht="18.75" customHeight="1" x14ac:dyDescent="0.35">
      <c r="A52" s="43"/>
      <c r="B52" s="43"/>
      <c r="C52" s="43"/>
      <c r="D52" s="44"/>
      <c r="E52" s="43"/>
      <c r="F52" s="43"/>
      <c r="G52" s="43"/>
    </row>
    <row r="53" spans="1:7" ht="18.75" customHeight="1" x14ac:dyDescent="0.35">
      <c r="A53" s="45"/>
      <c r="B53" s="45"/>
      <c r="C53" s="45"/>
      <c r="D53" s="46"/>
      <c r="E53" s="45"/>
      <c r="F53" s="45"/>
      <c r="G53" s="45"/>
    </row>
    <row r="54" spans="1:7" ht="18.75" customHeight="1" x14ac:dyDescent="0.35">
      <c r="A54" s="43"/>
      <c r="B54" s="43"/>
      <c r="C54" s="43"/>
      <c r="D54" s="44"/>
      <c r="E54" s="43"/>
      <c r="F54" s="43"/>
      <c r="G54" s="43"/>
    </row>
    <row r="55" spans="1:7" ht="18.75" customHeight="1" x14ac:dyDescent="0.35">
      <c r="A55" s="45"/>
      <c r="B55" s="45"/>
      <c r="C55" s="45"/>
      <c r="D55" s="46"/>
      <c r="E55" s="45"/>
      <c r="F55" s="45"/>
      <c r="G55" s="45"/>
    </row>
    <row r="56" spans="1:7" ht="18.75" customHeight="1" x14ac:dyDescent="0.35">
      <c r="A56" s="43"/>
      <c r="B56" s="43"/>
      <c r="C56" s="43"/>
      <c r="D56" s="44"/>
      <c r="E56" s="43"/>
      <c r="F56" s="43"/>
      <c r="G56" s="43"/>
    </row>
    <row r="57" spans="1:7" ht="18.75" customHeight="1" x14ac:dyDescent="0.35">
      <c r="A57" s="45"/>
      <c r="B57" s="45"/>
      <c r="C57" s="45"/>
      <c r="D57" s="46"/>
      <c r="E57" s="45"/>
      <c r="F57" s="45"/>
      <c r="G57" s="45"/>
    </row>
    <row r="58" spans="1:7" ht="18.75" customHeight="1" x14ac:dyDescent="0.35">
      <c r="A58" s="43"/>
      <c r="B58" s="43"/>
      <c r="C58" s="43"/>
      <c r="D58" s="44"/>
      <c r="E58" s="43"/>
      <c r="F58" s="43"/>
      <c r="G58" s="43"/>
    </row>
    <row r="59" spans="1:7" ht="18.75" customHeight="1" x14ac:dyDescent="0.35">
      <c r="A59" s="45"/>
      <c r="B59" s="45"/>
      <c r="C59" s="45"/>
      <c r="D59" s="46"/>
      <c r="E59" s="45"/>
      <c r="F59" s="45"/>
      <c r="G59" s="45"/>
    </row>
    <row r="60" spans="1:7" ht="18.75" customHeight="1" x14ac:dyDescent="0.35">
      <c r="A60" s="43"/>
      <c r="B60" s="43"/>
      <c r="C60" s="43"/>
      <c r="D60" s="44"/>
      <c r="E60" s="43"/>
      <c r="F60" s="43"/>
      <c r="G60" s="43"/>
    </row>
    <row r="61" spans="1:7" ht="18.75" customHeight="1" x14ac:dyDescent="0.35">
      <c r="A61" s="45"/>
      <c r="B61" s="45"/>
      <c r="C61" s="45"/>
      <c r="D61" s="46"/>
      <c r="E61" s="45"/>
      <c r="F61" s="45"/>
      <c r="G61" s="45"/>
    </row>
    <row r="62" spans="1:7" ht="18.75" customHeight="1" x14ac:dyDescent="0.35">
      <c r="A62" s="43"/>
      <c r="B62" s="43"/>
      <c r="C62" s="43"/>
      <c r="D62" s="44"/>
      <c r="E62" s="43"/>
      <c r="F62" s="43"/>
      <c r="G62" s="43"/>
    </row>
    <row r="63" spans="1:7" ht="18.75" customHeight="1" x14ac:dyDescent="0.35">
      <c r="A63" s="45"/>
      <c r="B63" s="45"/>
      <c r="C63" s="45"/>
      <c r="D63" s="46"/>
      <c r="E63" s="45"/>
      <c r="F63" s="45"/>
      <c r="G63" s="45"/>
    </row>
    <row r="64" spans="1:7" ht="18.75" customHeight="1" x14ac:dyDescent="0.35">
      <c r="A64" s="43"/>
      <c r="B64" s="43"/>
      <c r="C64" s="43"/>
      <c r="D64" s="44"/>
      <c r="E64" s="43"/>
      <c r="F64" s="43"/>
      <c r="G64" s="43"/>
    </row>
    <row r="65" spans="1:7" ht="18.75" customHeight="1" x14ac:dyDescent="0.35">
      <c r="A65" s="45"/>
      <c r="B65" s="45"/>
      <c r="C65" s="45"/>
      <c r="D65" s="46"/>
      <c r="E65" s="45"/>
      <c r="F65" s="45"/>
      <c r="G65" s="45"/>
    </row>
    <row r="68" spans="1:7" x14ac:dyDescent="0.35">
      <c r="A68" s="6" t="s">
        <v>59</v>
      </c>
      <c r="B68" s="6"/>
      <c r="C68" s="6"/>
      <c r="D68" s="6"/>
      <c r="E68" s="6"/>
      <c r="F68" s="6"/>
      <c r="G68" s="6"/>
    </row>
  </sheetData>
  <mergeCells count="2">
    <mergeCell ref="A5:G5"/>
    <mergeCell ref="A68:G68"/>
  </mergeCells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E13"/>
  <sheetViews>
    <sheetView showGridLines="0" zoomScaleNormal="100" workbookViewId="0">
      <selection sqref="A1:E1"/>
    </sheetView>
  </sheetViews>
  <sheetFormatPr defaultColWidth="8.6328125" defaultRowHeight="14.5" x14ac:dyDescent="0.35"/>
  <cols>
    <col min="1" max="1" width="22" customWidth="1"/>
    <col min="2" max="4" width="16" customWidth="1"/>
    <col min="5" max="5" width="18" customWidth="1"/>
  </cols>
  <sheetData>
    <row r="1" spans="1:5" ht="33.75" customHeight="1" x14ac:dyDescent="0.35">
      <c r="A1" s="4" t="s">
        <v>60</v>
      </c>
      <c r="B1" s="4"/>
      <c r="C1" s="4"/>
      <c r="D1" s="4"/>
      <c r="E1" s="4"/>
    </row>
    <row r="2" spans="1:5" ht="21.75" customHeight="1" x14ac:dyDescent="0.35">
      <c r="A2" s="47" t="s">
        <v>5</v>
      </c>
      <c r="B2" s="47" t="s">
        <v>61</v>
      </c>
      <c r="C2" s="47" t="s">
        <v>62</v>
      </c>
      <c r="D2" s="47" t="s">
        <v>63</v>
      </c>
      <c r="E2" s="47" t="s">
        <v>64</v>
      </c>
    </row>
    <row r="3" spans="1:5" ht="19.5" customHeight="1" x14ac:dyDescent="0.35">
      <c r="A3" s="48" t="s">
        <v>43</v>
      </c>
      <c r="B3" s="49">
        <v>1200000</v>
      </c>
      <c r="C3" s="50">
        <f>SUMIF(Transacciones!E:E,A3,Transacciones!D:D)</f>
        <v>700000</v>
      </c>
      <c r="D3" s="51">
        <f t="shared" ref="D3:D10" si="0">B3-C3</f>
        <v>500000</v>
      </c>
      <c r="E3" s="52">
        <f t="shared" ref="E3:E11" si="1">IF(B3&gt;0,C3/B3,0)</f>
        <v>0.58333333333333337</v>
      </c>
    </row>
    <row r="4" spans="1:5" ht="19.5" customHeight="1" x14ac:dyDescent="0.35">
      <c r="A4" s="53" t="s">
        <v>36</v>
      </c>
      <c r="B4" s="49">
        <v>300000</v>
      </c>
      <c r="C4" s="54">
        <f>SUMIF(Transacciones!E:E,A4,Transacciones!D:D)</f>
        <v>70000</v>
      </c>
      <c r="D4" s="55">
        <f t="shared" si="0"/>
        <v>230000</v>
      </c>
      <c r="E4" s="56">
        <f t="shared" si="1"/>
        <v>0.23333333333333334</v>
      </c>
    </row>
    <row r="5" spans="1:5" ht="19.5" customHeight="1" x14ac:dyDescent="0.35">
      <c r="A5" s="48" t="s">
        <v>39</v>
      </c>
      <c r="B5" s="49">
        <v>100000</v>
      </c>
      <c r="C5" s="50">
        <f>SUMIF(Transacciones!E:E,A5,Transacciones!D:D)</f>
        <v>140000</v>
      </c>
      <c r="D5" s="51">
        <f t="shared" si="0"/>
        <v>-40000</v>
      </c>
      <c r="E5" s="52">
        <f t="shared" si="1"/>
        <v>1.4</v>
      </c>
    </row>
    <row r="6" spans="1:5" ht="19.5" customHeight="1" x14ac:dyDescent="0.35">
      <c r="A6" s="53" t="s">
        <v>65</v>
      </c>
      <c r="B6" s="49">
        <v>50000</v>
      </c>
      <c r="C6" s="54">
        <f>SUMIF(Transacciones!E:E,A6,Transacciones!D:D)</f>
        <v>0</v>
      </c>
      <c r="D6" s="55">
        <f t="shared" si="0"/>
        <v>50000</v>
      </c>
      <c r="E6" s="56">
        <f t="shared" si="1"/>
        <v>0</v>
      </c>
    </row>
    <row r="7" spans="1:5" ht="19.5" customHeight="1" x14ac:dyDescent="0.35">
      <c r="A7" s="48" t="s">
        <v>48</v>
      </c>
      <c r="B7" s="49">
        <v>500000</v>
      </c>
      <c r="C7" s="50">
        <f>SUMIF(Transacciones!E:E,A7,Transacciones!D:D)</f>
        <v>100000</v>
      </c>
      <c r="D7" s="51">
        <f t="shared" si="0"/>
        <v>400000</v>
      </c>
      <c r="E7" s="52">
        <f t="shared" si="1"/>
        <v>0.2</v>
      </c>
    </row>
    <row r="8" spans="1:5" ht="19.5" customHeight="1" x14ac:dyDescent="0.35">
      <c r="A8" s="53" t="s">
        <v>53</v>
      </c>
      <c r="B8" s="49">
        <v>80000</v>
      </c>
      <c r="C8" s="54">
        <f>SUMIF(Transacciones!E:E,A8,Transacciones!D:D)</f>
        <v>438000</v>
      </c>
      <c r="D8" s="55">
        <f t="shared" si="0"/>
        <v>-358000</v>
      </c>
      <c r="E8" s="56">
        <f t="shared" si="1"/>
        <v>5.4749999999999996</v>
      </c>
    </row>
    <row r="9" spans="1:5" ht="19.5" customHeight="1" x14ac:dyDescent="0.35">
      <c r="A9" s="48" t="s">
        <v>66</v>
      </c>
      <c r="B9" s="49">
        <v>50000</v>
      </c>
      <c r="C9" s="50">
        <f>SUMIF(Transacciones!E:E,A9,Transacciones!D:D)</f>
        <v>0</v>
      </c>
      <c r="D9" s="51">
        <f t="shared" si="0"/>
        <v>50000</v>
      </c>
      <c r="E9" s="52">
        <f t="shared" si="1"/>
        <v>0</v>
      </c>
    </row>
    <row r="10" spans="1:5" ht="19.5" customHeight="1" x14ac:dyDescent="0.35">
      <c r="A10" s="53" t="s">
        <v>33</v>
      </c>
      <c r="B10" s="49">
        <v>200000</v>
      </c>
      <c r="C10" s="54">
        <f>SUMIF(Transacciones!E:E,A10,Transacciones!D:D)</f>
        <v>80000</v>
      </c>
      <c r="D10" s="55">
        <f t="shared" si="0"/>
        <v>120000</v>
      </c>
      <c r="E10" s="56">
        <f t="shared" si="1"/>
        <v>0.4</v>
      </c>
    </row>
    <row r="11" spans="1:5" ht="21.75" customHeight="1" x14ac:dyDescent="0.35">
      <c r="A11" s="57" t="s">
        <v>18</v>
      </c>
      <c r="B11" s="58">
        <f>SUM(B3:B10)</f>
        <v>2480000</v>
      </c>
      <c r="C11" s="58">
        <f>SUM(C3:C10)</f>
        <v>1528000</v>
      </c>
      <c r="D11" s="59">
        <f>SUM(D3:D10)</f>
        <v>952000</v>
      </c>
      <c r="E11" s="60">
        <f t="shared" si="1"/>
        <v>0.61612903225806448</v>
      </c>
    </row>
    <row r="13" spans="1:5" x14ac:dyDescent="0.35">
      <c r="A13" s="6" t="s">
        <v>67</v>
      </c>
      <c r="B13" s="6"/>
      <c r="C13" s="6"/>
      <c r="D13" s="6"/>
      <c r="E13" s="6"/>
    </row>
  </sheetData>
  <mergeCells count="2">
    <mergeCell ref="A1:E1"/>
    <mergeCell ref="A13:E13"/>
  </mergeCells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7B6C"/>
  </sheetPr>
  <dimension ref="A1:F20"/>
  <sheetViews>
    <sheetView showGridLines="0" tabSelected="1" topLeftCell="A14" zoomScaleNormal="100" workbookViewId="0">
      <selection activeCell="H27" sqref="H27"/>
    </sheetView>
  </sheetViews>
  <sheetFormatPr defaultColWidth="8.6328125" defaultRowHeight="14.5" x14ac:dyDescent="0.35"/>
  <cols>
    <col min="1" max="1" width="22" customWidth="1"/>
    <col min="2" max="6" width="16" customWidth="1"/>
  </cols>
  <sheetData>
    <row r="1" spans="1:6" ht="33.75" customHeight="1" x14ac:dyDescent="0.35">
      <c r="A1" s="3" t="s">
        <v>68</v>
      </c>
      <c r="B1" s="3"/>
      <c r="C1" s="3"/>
      <c r="D1" s="3"/>
      <c r="E1" s="3"/>
      <c r="F1" s="3"/>
    </row>
    <row r="3" spans="1:6" ht="21.75" customHeight="1" x14ac:dyDescent="0.35">
      <c r="A3" s="2" t="s">
        <v>4</v>
      </c>
      <c r="B3" s="2"/>
    </row>
    <row r="4" spans="1:6" ht="19.5" customHeight="1" x14ac:dyDescent="0.35">
      <c r="A4" s="15" t="s">
        <v>5</v>
      </c>
      <c r="B4" s="15" t="s">
        <v>28</v>
      </c>
    </row>
    <row r="5" spans="1:6" ht="18.75" customHeight="1" x14ac:dyDescent="0.35">
      <c r="A5" s="48" t="s">
        <v>43</v>
      </c>
      <c r="B5" s="50">
        <f>SUMIF(Transacciones!E:E,A5,Transacciones!D:D)</f>
        <v>700000</v>
      </c>
    </row>
    <row r="6" spans="1:6" ht="18.75" customHeight="1" x14ac:dyDescent="0.35">
      <c r="A6" s="53" t="s">
        <v>36</v>
      </c>
      <c r="B6" s="54">
        <f>SUMIF(Transacciones!E:E,A6,Transacciones!D:D)</f>
        <v>70000</v>
      </c>
    </row>
    <row r="7" spans="1:6" ht="18.75" customHeight="1" x14ac:dyDescent="0.35">
      <c r="A7" s="48" t="s">
        <v>39</v>
      </c>
      <c r="B7" s="50">
        <f>SUMIF(Transacciones!E:E,A7,Transacciones!D:D)</f>
        <v>140000</v>
      </c>
    </row>
    <row r="8" spans="1:6" ht="18.75" customHeight="1" x14ac:dyDescent="0.35">
      <c r="A8" s="53" t="s">
        <v>65</v>
      </c>
      <c r="B8" s="54">
        <f>SUMIF(Transacciones!E:E,A8,Transacciones!D:D)</f>
        <v>0</v>
      </c>
    </row>
    <row r="9" spans="1:6" ht="18.75" customHeight="1" x14ac:dyDescent="0.35">
      <c r="A9" s="48" t="s">
        <v>48</v>
      </c>
      <c r="B9" s="50">
        <f>SUMIF(Transacciones!E:E,A9,Transacciones!D:D)</f>
        <v>100000</v>
      </c>
    </row>
    <row r="10" spans="1:6" ht="18.75" customHeight="1" x14ac:dyDescent="0.35">
      <c r="A10" s="53" t="s">
        <v>53</v>
      </c>
      <c r="B10" s="54">
        <f>SUMIF(Transacciones!E:E,A10,Transacciones!D:D)</f>
        <v>438000</v>
      </c>
    </row>
    <row r="11" spans="1:6" ht="18.75" customHeight="1" x14ac:dyDescent="0.35">
      <c r="A11" s="48" t="s">
        <v>66</v>
      </c>
      <c r="B11" s="50">
        <f>SUMIF(Transacciones!E:E,A11,Transacciones!D:D)</f>
        <v>0</v>
      </c>
    </row>
    <row r="12" spans="1:6" ht="18.75" customHeight="1" x14ac:dyDescent="0.35">
      <c r="A12" s="53" t="s">
        <v>33</v>
      </c>
      <c r="B12" s="54">
        <f>SUMIF(Transacciones!E:E,A12,Transacciones!D:D)</f>
        <v>80000</v>
      </c>
    </row>
    <row r="16" spans="1:6" ht="21.75" customHeight="1" x14ac:dyDescent="0.35">
      <c r="A16" s="1" t="s">
        <v>69</v>
      </c>
      <c r="B16" s="1"/>
    </row>
    <row r="17" spans="1:2" x14ac:dyDescent="0.35">
      <c r="A17" s="57" t="s">
        <v>70</v>
      </c>
      <c r="B17" s="57" t="s">
        <v>28</v>
      </c>
    </row>
    <row r="18" spans="1:2" ht="19.5" customHeight="1" x14ac:dyDescent="0.35">
      <c r="A18" s="48" t="s">
        <v>20</v>
      </c>
      <c r="B18" s="50">
        <f>Transacciones!C2</f>
        <v>2853000</v>
      </c>
    </row>
    <row r="19" spans="1:2" ht="19.5" customHeight="1" x14ac:dyDescent="0.35">
      <c r="A19" s="53" t="s">
        <v>22</v>
      </c>
      <c r="B19" s="54">
        <f>Transacciones!C3</f>
        <v>1528000</v>
      </c>
    </row>
    <row r="20" spans="1:2" ht="19.5" customHeight="1" x14ac:dyDescent="0.35">
      <c r="A20" s="48" t="s">
        <v>23</v>
      </c>
      <c r="B20" s="50">
        <f>Transacciones!C4</f>
        <v>1325000</v>
      </c>
    </row>
  </sheetData>
  <mergeCells count="3">
    <mergeCell ref="A1:F1"/>
    <mergeCell ref="A3:B3"/>
    <mergeCell ref="A16:B16"/>
  </mergeCells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Uso Interno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AE60"/>
  </sheetPr>
  <dimension ref="B1:C20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55" customWidth="1"/>
    <col min="3" max="3" width="40" customWidth="1"/>
  </cols>
  <sheetData>
    <row r="1" spans="2:3" ht="33.75" customHeight="1" x14ac:dyDescent="0.35">
      <c r="B1" s="65" t="s">
        <v>71</v>
      </c>
      <c r="C1" s="65"/>
    </row>
    <row r="3" spans="2:3" ht="19.5" customHeight="1" x14ac:dyDescent="0.35">
      <c r="B3" s="61"/>
      <c r="C3" s="62"/>
    </row>
    <row r="4" spans="2:3" ht="24" customHeight="1" x14ac:dyDescent="0.35">
      <c r="B4" s="66" t="s">
        <v>72</v>
      </c>
      <c r="C4" s="66"/>
    </row>
    <row r="5" spans="2:3" ht="19.5" customHeight="1" x14ac:dyDescent="0.35">
      <c r="B5" s="61" t="s">
        <v>73</v>
      </c>
      <c r="C5" s="62" t="s">
        <v>74</v>
      </c>
    </row>
    <row r="6" spans="2:3" ht="19.5" customHeight="1" x14ac:dyDescent="0.35">
      <c r="B6" s="61" t="s">
        <v>75</v>
      </c>
      <c r="C6" s="62" t="s">
        <v>76</v>
      </c>
    </row>
    <row r="7" spans="2:3" ht="19.5" customHeight="1" x14ac:dyDescent="0.35">
      <c r="B7" s="61" t="s">
        <v>77</v>
      </c>
      <c r="C7" s="62" t="s">
        <v>78</v>
      </c>
    </row>
    <row r="8" spans="2:3" ht="19.5" customHeight="1" x14ac:dyDescent="0.35">
      <c r="B8" s="61" t="s">
        <v>79</v>
      </c>
      <c r="C8" s="62" t="s">
        <v>80</v>
      </c>
    </row>
    <row r="9" spans="2:3" ht="19.5" customHeight="1" x14ac:dyDescent="0.35">
      <c r="B9" s="61" t="s">
        <v>81</v>
      </c>
      <c r="C9" s="62" t="s">
        <v>82</v>
      </c>
    </row>
    <row r="10" spans="2:3" ht="19.5" customHeight="1" x14ac:dyDescent="0.35">
      <c r="B10" s="61"/>
      <c r="C10" s="62"/>
    </row>
    <row r="11" spans="2:3" ht="24" customHeight="1" x14ac:dyDescent="0.35">
      <c r="B11" s="66" t="s">
        <v>83</v>
      </c>
      <c r="C11" s="66"/>
    </row>
    <row r="12" spans="2:3" ht="19.5" customHeight="1" x14ac:dyDescent="0.35">
      <c r="B12" s="63" t="s">
        <v>84</v>
      </c>
      <c r="C12" s="64" t="s">
        <v>85</v>
      </c>
    </row>
    <row r="13" spans="2:3" ht="19.5" customHeight="1" x14ac:dyDescent="0.35">
      <c r="B13" s="63" t="s">
        <v>86</v>
      </c>
      <c r="C13" s="64" t="s">
        <v>87</v>
      </c>
    </row>
    <row r="14" spans="2:3" ht="19.5" customHeight="1" x14ac:dyDescent="0.35">
      <c r="B14" s="63" t="s">
        <v>88</v>
      </c>
      <c r="C14" s="64" t="s">
        <v>89</v>
      </c>
    </row>
    <row r="15" spans="2:3" ht="19.5" customHeight="1" x14ac:dyDescent="0.35">
      <c r="B15" s="63" t="s">
        <v>90</v>
      </c>
      <c r="C15" s="64" t="s">
        <v>91</v>
      </c>
    </row>
    <row r="16" spans="2:3" ht="19.5" customHeight="1" x14ac:dyDescent="0.35">
      <c r="B16" s="61"/>
      <c r="C16" s="62"/>
    </row>
    <row r="17" spans="2:3" ht="19.5" customHeight="1" x14ac:dyDescent="0.35">
      <c r="B17" s="61" t="s">
        <v>92</v>
      </c>
      <c r="C17" s="62" t="s">
        <v>93</v>
      </c>
    </row>
    <row r="18" spans="2:3" ht="19.5" customHeight="1" x14ac:dyDescent="0.35">
      <c r="B18" s="61"/>
      <c r="C18" s="62"/>
    </row>
    <row r="19" spans="2:3" ht="19.5" customHeight="1" x14ac:dyDescent="0.35">
      <c r="B19" s="61" t="s">
        <v>94</v>
      </c>
      <c r="C19" s="62" t="s">
        <v>95</v>
      </c>
    </row>
    <row r="20" spans="2:3" ht="19.5" customHeight="1" x14ac:dyDescent="0.35">
      <c r="B20" s="61"/>
      <c r="C20" s="62" t="s">
        <v>96</v>
      </c>
    </row>
  </sheetData>
  <mergeCells count="3">
    <mergeCell ref="B1:C1"/>
    <mergeCell ref="B4:C4"/>
    <mergeCell ref="B11:C11"/>
  </mergeCells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Uso Interno</oddFooter>
  </headerFooter>
</worksheet>
</file>

<file path=docMetadata/LabelInfo.xml><?xml version="1.0" encoding="utf-8"?>
<clbl:labelList xmlns:clbl="http://schemas.microsoft.com/office/2020/mipLabelMetadata">
  <clbl:label id="{d24eed27-3fbd-4dde-8a3c-3c7b40052672}" enabled="1" method="Standard" siteId="{4ccb8238-1021-4da4-aa51-a22343b307d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Resumen</vt:lpstr>
      <vt:lpstr>Transacciones</vt:lpstr>
      <vt:lpstr>Presupuesto</vt:lpstr>
      <vt:lpstr>📈 Análisis</vt:lpstr>
      <vt:lpstr>ℹ️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Elkin Arnulfo Cadena Hurtado</cp:lastModifiedBy>
  <cp:revision>1</cp:revision>
  <dcterms:created xsi:type="dcterms:W3CDTF">2026-05-21T22:00:57Z</dcterms:created>
  <dcterms:modified xsi:type="dcterms:W3CDTF">2026-05-21T23:14:05Z</dcterms:modified>
  <dc:language>en-US</dc:language>
</cp:coreProperties>
</file>